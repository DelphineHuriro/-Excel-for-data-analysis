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060\Downloads\Delphine\"/>
    </mc:Choice>
  </mc:AlternateContent>
  <xr:revisionPtr revIDLastSave="0" documentId="13_ncr:1_{48D0B41C-C44F-4824-B6D2-448612273F9B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L2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<sst xmlns="http://schemas.openxmlformats.org/spreadsheetml/2006/main" count="395" uniqueCount="144">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</sst>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abSelected="1" zoomScale="120" zoomScaleNormal="120" workbookViewId="0">
      <selection activeCell="Q3" sqref="Q3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met","Goal 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met","Goal not met")</f>
        <v>Goal 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T4" sqref="T4"/>
    </sheetView>
  </sheetViews>
  <sheetFormatPr defaultRowHeight="14.5" x14ac:dyDescent="0.35"/>
  <cols>
    <col min="1" max="1" width="16.81640625" bestFit="1" customWidth="1"/>
    <col min="2" max="2" width="19.179687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0.90625" bestFit="1" customWidth="1"/>
    <col min="12" max="12" width="14.26953125" bestFit="1" customWidth="1"/>
    <col min="13" max="13" width="14.26953125" customWidth="1"/>
    <col min="14" max="14" width="6.54296875" bestFit="1" customWidth="1"/>
    <col min="15" max="15" width="5.81640625" bestFit="1" customWidth="1"/>
    <col min="16" max="16" width="13" customWidth="1"/>
    <col min="17" max="17" width="9.90625" customWidth="1"/>
    <col min="18" max="18" width="8.7265625" customWidth="1"/>
  </cols>
  <sheetData>
    <row r="1" spans="1:18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IF($A2=K$1,"Desired","Not desired")</f>
        <v>Not desired</v>
      </c>
      <c r="L2" t="str">
        <f>IF($A2=L$1,"Desired","Not desired")</f>
        <v>Not desired</v>
      </c>
      <c r="M2" t="str">
        <f>IF($A2=$K$1,"Desired",IF(A2=$L$1,"Desired","Not desired"))</f>
        <v>Not desired</v>
      </c>
      <c r="N2" t="b">
        <f>AND($A2=$K$1,$A2=$L$1)</f>
        <v>0</v>
      </c>
      <c r="O2" t="b">
        <f>OR($A2=$K$1,$A2=$L$1)</f>
        <v>0</v>
      </c>
      <c r="Q2" t="str">
        <f>IF(H2&gt;=85000,"salary ok","Salary Low")</f>
        <v>salary ok</v>
      </c>
      <c r="R2" t="str" cm="1">
        <f t="array" ref="R2">_xlfn.IFS($H2="","No data",$H2&gt;=85700,"Salary ok",$H2&lt;85700,"Low salary")</f>
        <v>Salary ok</v>
      </c>
    </row>
    <row r="3" spans="1:18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IF($A3=K$1,"Desired","Not desired")</f>
        <v>Desired</v>
      </c>
      <c r="L3" t="str">
        <f t="shared" si="0"/>
        <v>Not desired</v>
      </c>
      <c r="M3" t="str">
        <f t="shared" ref="M3:M21" si="1">IF($A3=$K$1,"Desired",IF(A3=$L$1,"Desired","Not desired"))</f>
        <v>Desired</v>
      </c>
      <c r="N3" t="b">
        <f t="shared" ref="N3:N21" si="2">AND($A3=$K$1,$A3=$L$1)</f>
        <v>0</v>
      </c>
      <c r="O3" t="b">
        <f t="shared" ref="O3:O21" si="3">OR($A3=$K$1,$A3=$L$1)</f>
        <v>1</v>
      </c>
      <c r="Q3" t="str">
        <f t="shared" ref="Q3:Q21" si="4">IF(H3&gt;=85000,"salary ok","Salary Low")</f>
        <v>Salary Low</v>
      </c>
      <c r="R3" t="str" cm="1">
        <f t="array" ref="R3">_xlfn.IFS($H3="","No data",$H3&gt;=85700,"Salary ok",$H3&lt;85700,"Low salary")</f>
        <v>Low salary</v>
      </c>
    </row>
    <row r="4" spans="1:18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Q4" t="str">
        <f t="shared" si="4"/>
        <v>Salary Low</v>
      </c>
      <c r="R4" t="str" cm="1">
        <f t="array" ref="R4">_xlfn.IFS($H4="","No data",$H4&gt;=85700,"Salary ok",$H4&lt;85700,"Low salary")</f>
        <v>No data</v>
      </c>
    </row>
    <row r="5" spans="1:18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Q5" t="str">
        <f t="shared" si="4"/>
        <v>Salary Low</v>
      </c>
      <c r="R5" t="str" cm="1">
        <f t="array" ref="R5">_xlfn.IFS($H5="","No data",$H5&gt;=85700,"Salary ok",$H5&lt;85700,"Low salary")</f>
        <v>No data</v>
      </c>
    </row>
    <row r="6" spans="1:18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Q6" t="str">
        <f t="shared" si="4"/>
        <v>Salary Low</v>
      </c>
      <c r="R6" t="str" cm="1">
        <f t="array" ref="R6">_xlfn.IFS($H6="","No data",$H6&gt;=85700,"Salary ok",$H6&lt;85700,"Low salary")</f>
        <v>No data</v>
      </c>
    </row>
    <row r="7" spans="1:18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Q7" t="str">
        <f t="shared" si="4"/>
        <v>Salary Low</v>
      </c>
      <c r="R7" t="str" cm="1">
        <f t="array" ref="R7">_xlfn.IFS($H7="","No data",$H7&gt;=85700,"Salary ok",$H7&lt;85700,"Low salary")</f>
        <v>No data</v>
      </c>
    </row>
    <row r="8" spans="1:18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Q8" t="str">
        <f t="shared" si="4"/>
        <v>Salary Low</v>
      </c>
      <c r="R8" t="str" cm="1">
        <f t="array" ref="R8">_xlfn.IFS($H8="","No data",$H8&gt;=85700,"Salary ok",$H8&lt;85700,"Low salary")</f>
        <v>No data</v>
      </c>
    </row>
    <row r="9" spans="1:18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Q9" t="str">
        <f t="shared" si="4"/>
        <v>salary ok</v>
      </c>
      <c r="R9" t="str" cm="1">
        <f t="array" ref="R9">_xlfn.IFS($H9="","No data",$H9&gt;=85700,"Salary ok",$H9&lt;85700,"Low salary")</f>
        <v>Salary ok</v>
      </c>
    </row>
    <row r="10" spans="1:18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Q10" t="str">
        <f t="shared" si="4"/>
        <v>Salary Low</v>
      </c>
      <c r="R10" t="str" cm="1">
        <f t="array" ref="R10">_xlfn.IFS($H10="","No data",$H10&gt;=85700,"Salary ok",$H10&lt;85700,"Low salary")</f>
        <v>No data</v>
      </c>
    </row>
    <row r="11" spans="1:18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Q11" t="str">
        <f t="shared" si="4"/>
        <v>salary ok</v>
      </c>
      <c r="R11" t="str" cm="1">
        <f t="array" ref="R11">_xlfn.IFS($H11="","No data",$H11&gt;=85700,"Salary ok",$H11&lt;85700,"Low salary")</f>
        <v>Salary ok</v>
      </c>
    </row>
    <row r="12" spans="1:18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Q12" t="str">
        <f t="shared" si="4"/>
        <v>salary ok</v>
      </c>
      <c r="R12" t="str" cm="1">
        <f t="array" ref="R12">_xlfn.IFS($H12="","No data",$H12&gt;=85700,"Salary ok",$H12&lt;85700,"Low salary")</f>
        <v>Salary ok</v>
      </c>
    </row>
    <row r="13" spans="1:18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Q13" t="str">
        <f t="shared" si="4"/>
        <v>salary ok</v>
      </c>
      <c r="R13" t="str" cm="1">
        <f t="array" ref="R13">_xlfn.IFS($H13="","No data",$H13&gt;=85700,"Salary ok",$H13&lt;85700,"Low salary")</f>
        <v>Salary ok</v>
      </c>
    </row>
    <row r="14" spans="1:18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Q14" t="str">
        <f t="shared" si="4"/>
        <v>salary ok</v>
      </c>
      <c r="R14" t="str" cm="1">
        <f t="array" ref="R14">_xlfn.IFS($H14="","No data",$H14&gt;=85700,"Salary ok",$H14&lt;85700,"Low salary")</f>
        <v>Salary ok</v>
      </c>
    </row>
    <row r="15" spans="1:18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Q15" t="str">
        <f t="shared" si="4"/>
        <v>Salary Low</v>
      </c>
      <c r="R15" t="str" cm="1">
        <f t="array" ref="R15">_xlfn.IFS($H15="","No data",$H15&gt;=85700,"Salary ok",$H15&lt;85700,"Low salary")</f>
        <v>Low salary</v>
      </c>
    </row>
    <row r="16" spans="1:18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Q16" t="str">
        <f t="shared" si="4"/>
        <v>salary ok</v>
      </c>
      <c r="R16" t="str" cm="1">
        <f t="array" ref="R16">_xlfn.IFS($H16="","No data",$H16&gt;=85700,"Salary ok",$H16&lt;85700,"Low salary")</f>
        <v>Salary ok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Q17" t="str">
        <f t="shared" si="4"/>
        <v>salary ok</v>
      </c>
      <c r="R17" t="str" cm="1">
        <f t="array" ref="R17">_xlfn.IFS($H17="","No data",$H17&gt;=85700,"Salary ok",$H17&lt;85700,"Low salary")</f>
        <v>Salary ok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Q18" t="str">
        <f t="shared" si="4"/>
        <v>Salary Low</v>
      </c>
      <c r="R18" t="str" cm="1">
        <f t="array" ref="R18">_xlfn.IFS($H18="","No data",$H18&gt;=85700,"Salary ok",$H18&lt;85700,"Low salary")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Q19" t="str">
        <f t="shared" si="4"/>
        <v>salary ok</v>
      </c>
      <c r="R19" t="str" cm="1">
        <f t="array" ref="R19">_xlfn.IFS($H19="","No data",$H19&gt;=85700,"Salary ok",$H19&lt;85700,"Low salary")</f>
        <v>Salary ok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Q20" t="str">
        <f t="shared" si="4"/>
        <v>Salary Low</v>
      </c>
      <c r="R20" t="str" cm="1">
        <f t="array" ref="R20">_xlfn.IFS($H20="","No data",$H20&gt;=85700,"Salary ok",$H20&lt;85700,"Low salary")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Q21" t="str">
        <f t="shared" si="4"/>
        <v>salary ok</v>
      </c>
      <c r="R21" t="str" cm="1">
        <f t="array" ref="R21">_xlfn.IFS($H21="","No data",$H21&gt;=85700,"Salary ok",$H21&lt;85700,"Low salary")</f>
        <v>Salary 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Vanessa Flora IGITEGO NGIRABEGA</cp:lastModifiedBy>
  <dcterms:created xsi:type="dcterms:W3CDTF">2024-07-16T20:11:02Z</dcterms:created>
  <dcterms:modified xsi:type="dcterms:W3CDTF">2025-10-20T15:00:05Z</dcterms:modified>
</cp:coreProperties>
</file>