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2060\Downloads\Delphine\"/>
    </mc:Choice>
  </mc:AlternateContent>
  <xr:revisionPtr revIDLastSave="0" documentId="13_ncr:1_{6CCA22EF-7AD6-45D6-8B24-0CEAB0D302B6}" xr6:coauthVersionLast="47" xr6:coauthVersionMax="47" xr10:uidLastSave="{00000000-0000-0000-0000-000000000000}"/>
  <bookViews>
    <workbookView xWindow="-110" yWindow="-110" windowWidth="19420" windowHeight="10300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D19" i="1"/>
  <c r="D17" i="1"/>
  <c r="E17" i="1"/>
  <c r="F17" i="1"/>
  <c r="G17" i="1"/>
  <c r="H17" i="1"/>
  <c r="I17" i="1"/>
  <c r="J17" i="1"/>
  <c r="K17" i="1"/>
  <c r="C17" i="1"/>
  <c r="L4" i="1"/>
  <c r="N4" i="1" s="1"/>
  <c r="O4" i="1" s="1"/>
  <c r="L5" i="1"/>
  <c r="L6" i="1"/>
  <c r="N6" i="1" s="1"/>
  <c r="O6" i="1" s="1"/>
  <c r="L7" i="1"/>
  <c r="L8" i="1"/>
  <c r="L9" i="1"/>
  <c r="N9" i="1" s="1"/>
  <c r="O9" i="1" s="1"/>
  <c r="L10" i="1"/>
  <c r="P10" i="1" s="1"/>
  <c r="L11" i="1"/>
  <c r="L12" i="1"/>
  <c r="N12" i="1" s="1"/>
  <c r="O12" i="1" s="1"/>
  <c r="L3" i="1"/>
  <c r="M4" i="1"/>
  <c r="P4" i="1" s="1"/>
  <c r="M5" i="1"/>
  <c r="P5" i="1" s="1"/>
  <c r="M6" i="1"/>
  <c r="P6" i="1" s="1"/>
  <c r="M7" i="1"/>
  <c r="P7" i="1" s="1"/>
  <c r="M8" i="1"/>
  <c r="P8" i="1" s="1"/>
  <c r="M9" i="1"/>
  <c r="M10" i="1"/>
  <c r="N10" i="1" s="1"/>
  <c r="O10" i="1" s="1"/>
  <c r="M11" i="1"/>
  <c r="P11" i="1" s="1"/>
  <c r="M12" i="1"/>
  <c r="M3" i="1"/>
  <c r="N3" i="1" s="1"/>
  <c r="O3" i="1" s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F4" i="1"/>
  <c r="G4" i="1"/>
  <c r="H4" i="1"/>
  <c r="F5" i="1"/>
  <c r="G5" i="1"/>
  <c r="H5" i="1"/>
  <c r="F6" i="1"/>
  <c r="G6" i="1"/>
  <c r="H6" i="1"/>
  <c r="F7" i="1"/>
  <c r="G7" i="1"/>
  <c r="H7" i="1"/>
  <c r="F8" i="1"/>
  <c r="G8" i="1"/>
  <c r="H8" i="1"/>
  <c r="F9" i="1"/>
  <c r="G9" i="1"/>
  <c r="H9" i="1"/>
  <c r="F10" i="1"/>
  <c r="G10" i="1"/>
  <c r="H10" i="1"/>
  <c r="F11" i="1"/>
  <c r="G11" i="1"/>
  <c r="H11" i="1"/>
  <c r="F12" i="1"/>
  <c r="G12" i="1"/>
  <c r="H12" i="1"/>
  <c r="H3" i="1"/>
  <c r="G3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P12" i="1" l="1"/>
  <c r="P9" i="1"/>
  <c r="N5" i="1"/>
  <c r="O5" i="1" s="1"/>
  <c r="N8" i="1"/>
  <c r="O8" i="1" s="1"/>
  <c r="N7" i="1"/>
  <c r="O7" i="1" s="1"/>
  <c r="P3" i="1"/>
  <c r="N11" i="1"/>
  <c r="O11" i="1" s="1"/>
  <c r="O4" i="4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<sst xmlns="http://schemas.openxmlformats.org/spreadsheetml/2006/main" count="125" uniqueCount="57">
  <si>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</si>
  <si>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</si>
  <si>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</si>
  <si>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</si>
  <si>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</si>
  <si>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</si>
  <si>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</si>
  <si>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</si>
  <si>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</si>
  <si>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</si>
  <si>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</si>
  <si>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</si>
  <si>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</si>
  <si>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</si>
  <si>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</si>
  <si>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</si>
  <si>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</si>
  <si>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</si>
  <si>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</si>
  <si>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</si>
  <si>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</si>
  <si>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</si>
  <si>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</si>
  <si>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</si>
  <si>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</si>
  <si>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</si>
  <si>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</si>
  <si>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</si>
  <si>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</si>
  <si>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</si>
  <si>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</si>
  <si>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</si>
  <si>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</si>
  <si>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</si>
  <si>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</si>
  <si>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</si>
  <si>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</si>
  <si>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</si>
  <si>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</si>
  <si>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</si>
  <si>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</si>
  <si>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</si>
  <si>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</si>
  <si>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</si>
  <si>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</si>
  <si>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</si>
  <si>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</si>
  <si>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</si>
  <si>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</si>
  <si>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</si>
  <si>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</si>
  <si>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</si>
  <si>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</si>
  <si>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Average</t>
  </si>
  <si>
    <t>Total count</t>
  </si>
  <si>
    <t>Meet both(AND)</t>
  </si>
  <si>
    <t>Meat Goals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</si>
</sst>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9" fontId="3" fillId="0" borderId="0" xfId="1" applyFont="1"/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P20"/>
  <sheetViews>
    <sheetView tabSelected="1" topLeftCell="A7" zoomScale="120" zoomScaleNormal="120" workbookViewId="0">
      <selection activeCell="C17" sqref="C17"/>
    </sheetView>
  </sheetViews>
  <sheetFormatPr defaultColWidth="9" defaultRowHeight="14.5" x14ac:dyDescent="0.35"/>
  <cols>
    <col min="1" max="1" width="5.1796875" style="4" customWidth="1"/>
    <col min="2" max="2" width="22.6328125" style="4" bestFit="1" customWidth="1"/>
    <col min="3" max="3" width="10.453125" style="4" customWidth="1"/>
    <col min="4" max="4" width="12.26953125" style="4" customWidth="1"/>
    <col min="5" max="5" width="11.54296875" style="4" customWidth="1"/>
    <col min="6" max="6" width="9.90625" style="4" hidden="1" customWidth="1"/>
    <col min="7" max="11" width="0" style="4" hidden="1" customWidth="1"/>
    <col min="12" max="13" width="9" style="4" customWidth="1"/>
    <col min="14" max="14" width="11.26953125" style="4" customWidth="1"/>
    <col min="15" max="15" width="9" style="4"/>
    <col min="16" max="16" width="14.6328125" style="4" bestFit="1" customWidth="1"/>
    <col min="17" max="16384" width="9" style="4"/>
  </cols>
  <sheetData>
    <row r="1" spans="2:16" ht="15" thickBot="1" x14ac:dyDescent="0.4"/>
    <row r="2" spans="2:16" ht="27.75" customHeight="1" x14ac:dyDescent="0.3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  <c r="P2" s="31" t="s">
        <v>55</v>
      </c>
    </row>
    <row r="3" spans="2:16" x14ac:dyDescent="0.3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(H3*D3)+D3</f>
        <v>130000</v>
      </c>
      <c r="J3" s="4" t="b">
        <f>I3=G3</f>
        <v>1</v>
      </c>
      <c r="K3" s="4" t="b">
        <f>E3&gt;D3</f>
        <v>0</v>
      </c>
      <c r="L3" s="4" t="b">
        <f>C3&lt;=$C$15</f>
        <v>1</v>
      </c>
      <c r="M3" s="4" t="b">
        <f>D3&gt;=$C$16</f>
        <v>1</v>
      </c>
      <c r="N3" s="4">
        <f>L3*M3</f>
        <v>1</v>
      </c>
      <c r="O3" s="4" t="b">
        <f>N3=1</f>
        <v>1</v>
      </c>
      <c r="P3" s="4" t="b">
        <f>AND(L3,M3)</f>
        <v>1</v>
      </c>
    </row>
    <row r="4" spans="2:16" x14ac:dyDescent="0.3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(H4*D4)+D4</f>
        <v>147000</v>
      </c>
      <c r="J4" s="4" t="b">
        <f t="shared" ref="J4:J12" si="4">I4=G4</f>
        <v>1</v>
      </c>
      <c r="K4" s="4" t="b">
        <f t="shared" ref="K4:K12" si="5">E4&gt;D4</f>
        <v>0</v>
      </c>
      <c r="L4" s="4" t="b">
        <f t="shared" ref="L4:L12" si="6">C4&lt;=$C$15</f>
        <v>1</v>
      </c>
      <c r="M4" s="4" t="b">
        <f t="shared" ref="M4:M12" si="7">D4&gt;=$C$16</f>
        <v>1</v>
      </c>
      <c r="N4" s="4">
        <f t="shared" ref="N4:N12" si="8">L4*M4</f>
        <v>1</v>
      </c>
      <c r="O4" s="4" t="b">
        <f t="shared" ref="O4:O12" si="9">N4=1</f>
        <v>1</v>
      </c>
      <c r="P4" s="4" t="b">
        <f t="shared" ref="P4:P12" si="10">AND(L4,M4)</f>
        <v>1</v>
      </c>
    </row>
    <row r="5" spans="2:16" x14ac:dyDescent="0.3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1</v>
      </c>
      <c r="M5" s="4" t="b">
        <f t="shared" si="7"/>
        <v>0</v>
      </c>
      <c r="N5" s="4">
        <f t="shared" si="8"/>
        <v>0</v>
      </c>
      <c r="O5" s="4" t="b">
        <f t="shared" si="9"/>
        <v>0</v>
      </c>
      <c r="P5" s="4" t="b">
        <f t="shared" si="10"/>
        <v>0</v>
      </c>
    </row>
    <row r="6" spans="2:16" x14ac:dyDescent="0.3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0</v>
      </c>
      <c r="M6" s="4" t="b">
        <f t="shared" si="7"/>
        <v>1</v>
      </c>
      <c r="N6" s="4">
        <f t="shared" si="8"/>
        <v>0</v>
      </c>
      <c r="O6" s="4" t="b">
        <f t="shared" si="9"/>
        <v>0</v>
      </c>
      <c r="P6" s="4" t="b">
        <f t="shared" si="10"/>
        <v>0</v>
      </c>
    </row>
    <row r="7" spans="2:16" x14ac:dyDescent="0.3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1</v>
      </c>
      <c r="M7" s="4" t="b">
        <f t="shared" si="7"/>
        <v>1</v>
      </c>
      <c r="N7" s="4">
        <f t="shared" si="8"/>
        <v>1</v>
      </c>
      <c r="O7" s="4" t="b">
        <f t="shared" si="9"/>
        <v>1</v>
      </c>
      <c r="P7" s="4" t="b">
        <f t="shared" si="10"/>
        <v>1</v>
      </c>
    </row>
    <row r="8" spans="2:16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0</v>
      </c>
      <c r="M8" s="4" t="b">
        <f t="shared" si="7"/>
        <v>1</v>
      </c>
      <c r="N8" s="4">
        <f t="shared" si="8"/>
        <v>0</v>
      </c>
      <c r="O8" s="4" t="b">
        <f t="shared" si="9"/>
        <v>0</v>
      </c>
      <c r="P8" s="4" t="b">
        <f t="shared" si="10"/>
        <v>0</v>
      </c>
    </row>
    <row r="9" spans="2:16" x14ac:dyDescent="0.3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0</v>
      </c>
      <c r="M9" s="4" t="b">
        <f t="shared" si="7"/>
        <v>1</v>
      </c>
      <c r="N9" s="4">
        <f t="shared" si="8"/>
        <v>0</v>
      </c>
      <c r="O9" s="4" t="b">
        <f t="shared" si="9"/>
        <v>0</v>
      </c>
      <c r="P9" s="4" t="b">
        <f t="shared" si="10"/>
        <v>0</v>
      </c>
    </row>
    <row r="10" spans="2:16" x14ac:dyDescent="0.3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0</v>
      </c>
      <c r="M10" s="4" t="b">
        <f t="shared" si="7"/>
        <v>1</v>
      </c>
      <c r="N10" s="4">
        <f t="shared" si="8"/>
        <v>0</v>
      </c>
      <c r="O10" s="4" t="b">
        <f t="shared" si="9"/>
        <v>0</v>
      </c>
      <c r="P10" s="4" t="b">
        <f t="shared" si="10"/>
        <v>0</v>
      </c>
    </row>
    <row r="11" spans="2:16" x14ac:dyDescent="0.3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1</v>
      </c>
      <c r="M11" s="4" t="b">
        <f t="shared" si="7"/>
        <v>1</v>
      </c>
      <c r="N11" s="4">
        <f t="shared" si="8"/>
        <v>1</v>
      </c>
      <c r="O11" s="4" t="b">
        <f t="shared" si="9"/>
        <v>1</v>
      </c>
      <c r="P11" s="4" t="b">
        <f t="shared" si="10"/>
        <v>1</v>
      </c>
    </row>
    <row r="12" spans="2:16" ht="15" thickBot="1" x14ac:dyDescent="0.4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  <c r="P12" s="4" t="b">
        <f t="shared" si="10"/>
        <v>1</v>
      </c>
    </row>
    <row r="14" spans="2:16" ht="15" thickBot="1" x14ac:dyDescent="0.4">
      <c r="B14" s="29" t="s">
        <v>51</v>
      </c>
    </row>
    <row r="15" spans="2:16" x14ac:dyDescent="0.35">
      <c r="B15" s="25" t="s">
        <v>48</v>
      </c>
      <c r="C15" s="26">
        <v>5</v>
      </c>
    </row>
    <row r="16" spans="2:16" ht="15" thickBot="1" x14ac:dyDescent="0.4">
      <c r="B16" s="27" t="s">
        <v>49</v>
      </c>
      <c r="C16" s="28">
        <v>90000</v>
      </c>
    </row>
    <row r="17" spans="2:11" x14ac:dyDescent="0.35">
      <c r="B17" s="4" t="s">
        <v>53</v>
      </c>
      <c r="C17" s="4">
        <f>AVERAGE(C3:C12)</f>
        <v>5.3</v>
      </c>
      <c r="D17" s="4">
        <f t="shared" ref="D17:N17" si="11">AVERAGE(D3:D12)</f>
        <v>119000</v>
      </c>
      <c r="E17" s="4">
        <f t="shared" si="11"/>
        <v>10400</v>
      </c>
      <c r="F17" s="4">
        <f t="shared" si="11"/>
        <v>5.3</v>
      </c>
      <c r="G17" s="4">
        <f t="shared" si="11"/>
        <v>129400</v>
      </c>
      <c r="H17" s="4">
        <f t="shared" si="11"/>
        <v>8.5565480895915674E-2</v>
      </c>
      <c r="I17" s="4">
        <f t="shared" si="11"/>
        <v>129400</v>
      </c>
      <c r="J17" s="4" t="e">
        <f t="shared" si="11"/>
        <v>#DIV/0!</v>
      </c>
      <c r="K17" s="4" t="e">
        <f t="shared" si="11"/>
        <v>#DIV/0!</v>
      </c>
    </row>
    <row r="18" spans="2:11" x14ac:dyDescent="0.35">
      <c r="B18" s="4" t="s">
        <v>54</v>
      </c>
    </row>
    <row r="19" spans="2:11" x14ac:dyDescent="0.35">
      <c r="B19" s="4" t="s">
        <v>56</v>
      </c>
      <c r="C19" s="4">
        <f>COUNTIF(C3:C12,"&lt;="&amp;C15)</f>
        <v>6</v>
      </c>
      <c r="D19" s="4">
        <f>COUNTIF(D3:D12,"&gt;=90000")</f>
        <v>9</v>
      </c>
    </row>
    <row r="20" spans="2:11" x14ac:dyDescent="0.35">
      <c r="B20" s="4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I3" sqref="I3"/>
    </sheetView>
  </sheetViews>
  <sheetFormatPr defaultColWidth="9" defaultRowHeight="14.5" x14ac:dyDescent="0.35"/>
  <cols>
    <col min="1" max="1" width="5.1796875" style="4" customWidth="1"/>
    <col min="2" max="2" width="22.6328125" style="4" bestFit="1" customWidth="1"/>
    <col min="3" max="3" width="10.453125" style="4" customWidth="1"/>
    <col min="4" max="4" width="12.26953125" style="4" customWidth="1"/>
    <col min="5" max="5" width="11.54296875" style="4" customWidth="1"/>
    <col min="6" max="6" width="10.54296875" style="4" customWidth="1"/>
    <col min="7" max="7" width="9" style="4"/>
    <col min="8" max="9" width="11" style="4" customWidth="1"/>
    <col min="10" max="11" width="9" style="4"/>
    <col min="12" max="12" width="12.54296875" style="4" bestFit="1" customWidth="1"/>
    <col min="13" max="16384" width="9" style="4"/>
  </cols>
  <sheetData>
    <row r="1" spans="2:12" ht="15" thickBot="1" x14ac:dyDescent="0.4"/>
    <row r="2" spans="2:12" s="14" customFormat="1" ht="27.75" customHeight="1" x14ac:dyDescent="0.3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3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3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3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3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3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" thickBot="1" x14ac:dyDescent="0.4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3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3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3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" thickBot="1" x14ac:dyDescent="0.4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4.5" x14ac:dyDescent="0.35"/>
  <cols>
    <col min="1" max="1" width="5.1796875" style="4" customWidth="1"/>
    <col min="2" max="2" width="22.6328125" style="4" bestFit="1" customWidth="1"/>
    <col min="3" max="3" width="10.453125" style="4" customWidth="1"/>
    <col min="4" max="4" width="12.26953125" style="4" customWidth="1"/>
    <col min="5" max="5" width="11.54296875" style="4" customWidth="1"/>
    <col min="6" max="6" width="10.54296875" style="4" hidden="1" customWidth="1"/>
    <col min="7" max="7" width="9" style="4"/>
    <col min="8" max="8" width="11" style="4" hidden="1" customWidth="1"/>
    <col min="9" max="9" width="11" style="4" customWidth="1"/>
    <col min="10" max="10" width="17.26953125" style="4" customWidth="1"/>
    <col min="11" max="11" width="14.26953125" style="4" customWidth="1"/>
    <col min="12" max="13" width="9" style="4"/>
    <col min="14" max="14" width="19.1796875" style="4" bestFit="1" customWidth="1"/>
    <col min="15" max="16384" width="9" style="4"/>
  </cols>
  <sheetData>
    <row r="1" spans="2:14" ht="15" thickBot="1" x14ac:dyDescent="0.4"/>
    <row r="2" spans="2:14" s="14" customFormat="1" ht="27.75" customHeight="1" x14ac:dyDescent="0.3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3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3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3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3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3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3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3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3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" thickBot="1" x14ac:dyDescent="0.4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topLeftCell="A6" zoomScale="120" zoomScaleNormal="120" workbookViewId="0">
      <selection activeCell="E16" sqref="E16"/>
    </sheetView>
  </sheetViews>
  <sheetFormatPr defaultColWidth="9" defaultRowHeight="14.5" x14ac:dyDescent="0.35"/>
  <cols>
    <col min="1" max="1" width="5.1796875" style="4" customWidth="1"/>
    <col min="2" max="2" width="22.6328125" style="4" bestFit="1" customWidth="1"/>
    <col min="3" max="3" width="10.453125" style="4" customWidth="1"/>
    <col min="4" max="4" width="12.26953125" style="4" customWidth="1"/>
    <col min="5" max="5" width="11.54296875" style="4" customWidth="1"/>
    <col min="6" max="6" width="10.54296875" style="4" hidden="1" customWidth="1"/>
    <col min="7" max="7" width="9" style="4"/>
    <col min="8" max="9" width="11" style="4" hidden="1" customWidth="1"/>
    <col min="10" max="10" width="17.26953125" style="4" hidden="1" customWidth="1"/>
    <col min="11" max="11" width="14.26953125" style="4" hidden="1" customWidth="1"/>
    <col min="12" max="12" width="10.1796875" style="4" customWidth="1"/>
    <col min="13" max="13" width="9" style="4"/>
    <col min="14" max="14" width="10.453125" style="4" customWidth="1"/>
    <col min="15" max="16384" width="9" style="4"/>
  </cols>
  <sheetData>
    <row r="1" spans="2:15" ht="15" thickBot="1" x14ac:dyDescent="0.4"/>
    <row r="2" spans="2:15" s="14" customFormat="1" ht="27.75" customHeight="1" x14ac:dyDescent="0.3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3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3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4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4">
      <c r="B14" s="29" t="s">
        <v>51</v>
      </c>
    </row>
    <row r="15" spans="2:15" x14ac:dyDescent="0.35">
      <c r="B15" s="25" t="s">
        <v>48</v>
      </c>
      <c r="C15" s="26">
        <v>5</v>
      </c>
    </row>
    <row r="16" spans="2:15" ht="15" thickBot="1" x14ac:dyDescent="0.4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Vanessa Flora IGITEGO NGIRABEGA</cp:lastModifiedBy>
  <dcterms:created xsi:type="dcterms:W3CDTF">2024-07-16T20:11:02Z</dcterms:created>
  <dcterms:modified xsi:type="dcterms:W3CDTF">2025-10-20T12:41:05Z</dcterms:modified>
</cp:coreProperties>
</file>