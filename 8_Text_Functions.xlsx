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42060\Downloads\Delphine\"/>
    </mc:Choice>
  </mc:AlternateContent>
  <xr:revisionPtr revIDLastSave="0" documentId="13_ncr:1_{2405376F-D7AB-40AA-9ACD-25566140F5BA}" xr6:coauthVersionLast="47" xr6:coauthVersionMax="47" xr10:uidLastSave="{00000000-0000-0000-0000-000000000000}"/>
  <bookViews>
    <workbookView xWindow="-110" yWindow="-110" windowWidth="19420" windowHeight="10300" activeTab="2"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2" l="1"/>
  <c r="C11" i="12"/>
  <c r="C12" i="12"/>
  <c r="C13" i="12"/>
  <c r="C14" i="12"/>
  <c r="C15" i="12"/>
  <c r="C16" i="12"/>
  <c r="C17" i="12"/>
  <c r="C18" i="12"/>
  <c r="C19" i="12"/>
  <c r="C20" i="12"/>
  <c r="C21" i="12"/>
  <c r="C22" i="12"/>
  <c r="C23" i="12"/>
  <c r="C24" i="12"/>
  <c r="C25" i="12"/>
  <c r="C26" i="12"/>
  <c r="C27" i="12"/>
  <c r="C28" i="12"/>
  <c r="C29" i="12"/>
  <c r="C30" i="12"/>
  <c r="C31" i="12"/>
  <c r="C9" i="12"/>
  <c r="A9" i="12" a="1"/>
  <c r="A9" i="12" s="1"/>
  <c r="A7" i="12" a="1"/>
  <c r="A7" i="12" s="1"/>
  <c r="A6" i="12" a="1"/>
  <c r="A6" i="12" s="1"/>
  <c r="A3" i="12"/>
  <c r="T3" i="8"/>
  <c r="U3" i="8" s="1"/>
  <c r="T4" i="8"/>
  <c r="U4" i="8" s="1"/>
  <c r="T5" i="8"/>
  <c r="U5" i="8" s="1"/>
  <c r="V5" i="8" s="1"/>
  <c r="T6" i="8"/>
  <c r="U6" i="8" s="1"/>
  <c r="T7" i="8"/>
  <c r="U7" i="8" s="1"/>
  <c r="T8" i="8"/>
  <c r="U8" i="8" s="1"/>
  <c r="T9" i="8"/>
  <c r="U9" i="8" s="1"/>
  <c r="V9" i="8" s="1"/>
  <c r="T10" i="8"/>
  <c r="U10" i="8" s="1"/>
  <c r="T11" i="8"/>
  <c r="U11" i="8" s="1"/>
  <c r="T12" i="8"/>
  <c r="U12" i="8" s="1"/>
  <c r="T13" i="8"/>
  <c r="U13" i="8" s="1"/>
  <c r="V13" i="8" s="1"/>
  <c r="T14" i="8"/>
  <c r="U14" i="8" s="1"/>
  <c r="T15" i="8"/>
  <c r="U15" i="8" s="1"/>
  <c r="T16" i="8"/>
  <c r="U16" i="8" s="1"/>
  <c r="T17" i="8"/>
  <c r="U17" i="8" s="1"/>
  <c r="V17" i="8" s="1"/>
  <c r="T18" i="8"/>
  <c r="U18" i="8" s="1"/>
  <c r="T19" i="8"/>
  <c r="U19" i="8" s="1"/>
  <c r="T20" i="8"/>
  <c r="U20" i="8" s="1"/>
  <c r="T21" i="8"/>
  <c r="V2" i="8"/>
  <c r="U2" i="8"/>
  <c r="T2" i="8"/>
  <c r="O3" i="8"/>
  <c r="O4" i="8"/>
  <c r="O5" i="8"/>
  <c r="O6" i="8"/>
  <c r="O7" i="8"/>
  <c r="O8" i="8"/>
  <c r="O9" i="8"/>
  <c r="O10" i="8"/>
  <c r="O11" i="8"/>
  <c r="O12" i="8"/>
  <c r="O13" i="8"/>
  <c r="O14" i="8"/>
  <c r="O15" i="8"/>
  <c r="O16" i="8"/>
  <c r="O17" i="8"/>
  <c r="O18" i="8"/>
  <c r="O19" i="8"/>
  <c r="O20" i="8"/>
  <c r="O21" i="8"/>
  <c r="O22" i="8"/>
  <c r="O2" i="8"/>
  <c r="L3" i="8" a="1"/>
  <c r="L3" i="8" s="1"/>
  <c r="L4" i="8" a="1"/>
  <c r="L4" i="8" s="1"/>
  <c r="L5" i="8" a="1"/>
  <c r="L5" i="8" s="1"/>
  <c r="L6" i="8" a="1"/>
  <c r="L6" i="8" s="1"/>
  <c r="L7" i="8" a="1"/>
  <c r="L7" i="8"/>
  <c r="L8" i="8" a="1"/>
  <c r="L8" i="8"/>
  <c r="L9" i="8" a="1"/>
  <c r="L9" i="8" s="1"/>
  <c r="L10" i="8" a="1"/>
  <c r="L10" i="8" s="1"/>
  <c r="L11" i="8" a="1"/>
  <c r="L11" i="8" s="1"/>
  <c r="L12" i="8" a="1"/>
  <c r="L12" i="8" s="1"/>
  <c r="L13" i="8" a="1"/>
  <c r="L13" i="8" s="1"/>
  <c r="L14" i="8" a="1"/>
  <c r="L14" i="8"/>
  <c r="L15" i="8" a="1"/>
  <c r="L15" i="8" s="1"/>
  <c r="L16" i="8" a="1"/>
  <c r="L16" i="8" s="1"/>
  <c r="L17" i="8" a="1"/>
  <c r="L17" i="8" s="1"/>
  <c r="L18" i="8" a="1"/>
  <c r="L18" i="8" s="1"/>
  <c r="L19" i="8" a="1"/>
  <c r="L19" i="8"/>
  <c r="L20" i="8" a="1"/>
  <c r="L20" i="8"/>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6" i="8" l="1"/>
  <c r="V18" i="8"/>
  <c r="V14" i="8"/>
  <c r="V10" i="8"/>
  <c r="U21" i="8"/>
  <c r="V21" i="8" s="1"/>
  <c r="V20" i="8"/>
  <c r="V16" i="8"/>
  <c r="V12" i="8"/>
  <c r="V8" i="8"/>
  <c r="V4" i="8"/>
  <c r="V19" i="8"/>
  <c r="V15" i="8"/>
  <c r="V11" i="8"/>
  <c r="V7" i="8"/>
  <c r="V3"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<sst xmlns="http://schemas.openxmlformats.org/spreadsheetml/2006/main" count="609" uniqueCount="95">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</sst>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Skill count of applicants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2579240500846526"/>
          <c:y val="0.18593069086703146"/>
          <c:w val="0.73592352053847687"/>
          <c:h val="0.67694897459851411"/>
        </c:manualLayout>
      </c:layout>
      <c:barChart>
        <c:barDir val="bar"/>
        <c:grouping val="clustered"/>
        <c:varyColors val="0"/>
        <c:ser>
          <c:idx val="1"/>
          <c:order val="1"/>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Skills!$C$9:$C$24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1-742F-45B1-9162-A73317087AC9}"/>
            </c:ext>
          </c:extLst>
        </c:ser>
        <c:dLbls>
          <c:dLblPos val="inEnd"/>
          <c:showLegendKey val="0"/>
          <c:showVal val="1"/>
          <c:showCatName val="0"/>
          <c:showSerName val="0"/>
          <c:showPercent val="0"/>
          <c:showBubbleSize val="0"/>
        </c:dLbls>
        <c:gapWidth val="65"/>
        <c:axId val="1559183407"/>
        <c:axId val="1559172847"/>
        <c:extLst>
          <c:ext xmlns:c15="http://schemas.microsoft.com/office/drawing/2012/chart" uri="{02D57815-91ED-43cb-92C2-25804820EDAC}">
            <c15:filteredBarSeries>
              <c15: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Skills!$A$9:$A$24</c15:sqref>
                        </c15:formulaRef>
                      </c:ext>
                    </c:extLst>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extLst>
                      <c:ext uri="{02D57815-91ED-43cb-92C2-25804820EDAC}">
                        <c15:formulaRef>
                          <c15:sqref>Skills!$B$9:$B$24</c15:sqref>
                        </c15:formulaRef>
                      </c:ext>
                    </c:extLst>
                    <c:numCache>
                      <c:formatCode>General</c:formatCode>
                      <c:ptCount val="16"/>
                    </c:numCache>
                  </c:numRef>
                </c:val>
                <c:extLst>
                  <c:ext xmlns:c16="http://schemas.microsoft.com/office/drawing/2014/chart" uri="{C3380CC4-5D6E-409C-BE32-E72D297353CC}">
                    <c16:uniqueId val="{00000000-742F-45B1-9162-A73317087AC9}"/>
                  </c:ext>
                </c:extLst>
              </c15:ser>
            </c15:filteredBarSeries>
          </c:ext>
        </c:extLst>
      </c:barChart>
      <c:catAx>
        <c:axId val="15591834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600" b="0" i="0" u="none" strike="noStrike" kern="1200" cap="small" baseline="0">
                <a:ln>
                  <a:noFill/>
                </a:ln>
                <a:solidFill>
                  <a:schemeClr val="dk1">
                    <a:lumMod val="75000"/>
                    <a:lumOff val="25000"/>
                  </a:schemeClr>
                </a:solidFill>
                <a:latin typeface="+mn-lt"/>
                <a:ea typeface="+mn-ea"/>
                <a:cs typeface="+mn-cs"/>
              </a:defRPr>
            </a:pPr>
            <a:endParaRPr lang="en-US"/>
          </a:p>
        </c:txPr>
        <c:crossAx val="1559172847"/>
        <c:crosses val="autoZero"/>
        <c:auto val="1"/>
        <c:lblAlgn val="ctr"/>
        <c:lblOffset val="100"/>
        <c:noMultiLvlLbl val="0"/>
      </c:catAx>
      <c:valAx>
        <c:axId val="15591728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918340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174623</xdr:colOff>
      <xdr:row>8</xdr:row>
      <xdr:rowOff>21166</xdr:rowOff>
    </xdr:from>
    <xdr:to>
      <xdr:col>9</xdr:col>
      <xdr:colOff>402166</xdr:colOff>
      <xdr:row>23</xdr:row>
      <xdr:rowOff>52916</xdr:rowOff>
    </xdr:to>
    <xdr:graphicFrame macro="">
      <xdr:nvGraphicFramePr>
        <xdr:cNvPr id="2" name="Chart 1">
          <a:extLst>
            <a:ext uri="{FF2B5EF4-FFF2-40B4-BE49-F238E27FC236}">
              <a16:creationId xmlns:a16="http://schemas.microsoft.com/office/drawing/2014/main" id="{2AC481EF-9629-84B6-4808-F106CB9EE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2"/>
  <sheetViews>
    <sheetView topLeftCell="D1" zoomScale="110" zoomScaleNormal="110" workbookViewId="0">
      <selection activeCell="H21" sqref="H21"/>
    </sheetView>
  </sheetViews>
  <sheetFormatPr defaultRowHeight="14.5" x14ac:dyDescent="0.35"/>
  <cols>
    <col min="1" max="1" width="17.6328125" customWidth="1"/>
    <col min="2" max="2" width="14.26953125" customWidth="1"/>
    <col min="3" max="3" width="27.26953125" customWidth="1"/>
    <col min="4" max="4" width="17.6328125" style="9" customWidth="1"/>
    <col min="5" max="5" width="26.26953125" customWidth="1"/>
    <col min="6" max="6" width="1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7" max="19" width="0" hidden="1" customWidth="1"/>
    <col min="22" max="22" width="10.08984375"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RIGHT(A2,6)</f>
        <v>123548</v>
      </c>
      <c r="Q2">
        <f>FIND(",", G2)+LEN(", ")</f>
        <v>11</v>
      </c>
      <c r="R2">
        <f>FIND(",",G2,Q2)</f>
        <v>13</v>
      </c>
      <c r="S2" t="str">
        <f>MID(G2,Q2,R2-Q2)</f>
        <v>CA</v>
      </c>
      <c r="T2">
        <f>FIND(",",G2)+LEN("  ")</f>
        <v>11</v>
      </c>
      <c r="U2">
        <f>FIND(",",G2,T2)</f>
        <v>13</v>
      </c>
      <c r="V2" t="str">
        <f>MID(G2,T2,U2-T2)</f>
        <v>CA</v>
      </c>
    </row>
    <row r="3" spans="1:22" x14ac:dyDescent="0.3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2" si="1">RIGHT(A3,6)</f>
        <v>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3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123550</v>
      </c>
      <c r="Q4">
        <f t="shared" si="2"/>
        <v>10</v>
      </c>
      <c r="R4">
        <f t="shared" si="3"/>
        <v>12</v>
      </c>
      <c r="S4" t="str">
        <f t="shared" si="4"/>
        <v>IL</v>
      </c>
      <c r="T4">
        <f t="shared" si="5"/>
        <v>10</v>
      </c>
      <c r="U4">
        <f t="shared" si="6"/>
        <v>12</v>
      </c>
      <c r="V4" t="str">
        <f t="shared" si="7"/>
        <v>IL</v>
      </c>
    </row>
    <row r="5" spans="1:22" x14ac:dyDescent="0.3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123551</v>
      </c>
      <c r="Q5">
        <f t="shared" si="2"/>
        <v>11</v>
      </c>
      <c r="R5">
        <f t="shared" si="3"/>
        <v>13</v>
      </c>
      <c r="S5" t="str">
        <f t="shared" si="4"/>
        <v>CA</v>
      </c>
      <c r="T5">
        <f t="shared" si="5"/>
        <v>11</v>
      </c>
      <c r="U5">
        <f t="shared" si="6"/>
        <v>13</v>
      </c>
      <c r="V5" t="str">
        <f t="shared" si="7"/>
        <v>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123552</v>
      </c>
      <c r="Q6">
        <f t="shared" si="2"/>
        <v>15</v>
      </c>
      <c r="R6">
        <f t="shared" si="3"/>
        <v>17</v>
      </c>
      <c r="S6" t="str">
        <f t="shared" si="4"/>
        <v>PA</v>
      </c>
      <c r="T6">
        <f t="shared" si="5"/>
        <v>15</v>
      </c>
      <c r="U6">
        <f t="shared" si="6"/>
        <v>17</v>
      </c>
      <c r="V6" t="str">
        <f t="shared" si="7"/>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123553</v>
      </c>
      <c r="Q7">
        <f t="shared" si="2"/>
        <v>15</v>
      </c>
      <c r="R7">
        <f t="shared" si="3"/>
        <v>17</v>
      </c>
      <c r="S7" t="str">
        <f t="shared" si="4"/>
        <v>PA</v>
      </c>
      <c r="T7">
        <f t="shared" si="5"/>
        <v>15</v>
      </c>
      <c r="U7">
        <f t="shared" si="6"/>
        <v>17</v>
      </c>
      <c r="V7" t="str">
        <f t="shared" si="7"/>
        <v>PA</v>
      </c>
    </row>
    <row r="8" spans="1:22" x14ac:dyDescent="0.3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123554</v>
      </c>
      <c r="Q8">
        <f t="shared" si="2"/>
        <v>10</v>
      </c>
      <c r="R8">
        <f t="shared" si="3"/>
        <v>12</v>
      </c>
      <c r="S8" t="str">
        <f t="shared" si="4"/>
        <v>IL</v>
      </c>
      <c r="T8">
        <f t="shared" si="5"/>
        <v>10</v>
      </c>
      <c r="U8">
        <f t="shared" si="6"/>
        <v>12</v>
      </c>
      <c r="V8" t="str">
        <f t="shared" si="7"/>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123555</v>
      </c>
      <c r="Q9">
        <f t="shared" si="2"/>
        <v>15</v>
      </c>
      <c r="R9">
        <f t="shared" si="3"/>
        <v>17</v>
      </c>
      <c r="S9" t="str">
        <f t="shared" si="4"/>
        <v>PA</v>
      </c>
      <c r="T9">
        <f t="shared" si="5"/>
        <v>15</v>
      </c>
      <c r="U9">
        <f t="shared" si="6"/>
        <v>17</v>
      </c>
      <c r="V9" t="str">
        <f t="shared" si="7"/>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123556</v>
      </c>
      <c r="Q10">
        <f t="shared" si="2"/>
        <v>10</v>
      </c>
      <c r="R10">
        <f t="shared" si="3"/>
        <v>12</v>
      </c>
      <c r="S10" t="str">
        <f t="shared" si="4"/>
        <v>IL</v>
      </c>
      <c r="T10">
        <f t="shared" si="5"/>
        <v>10</v>
      </c>
      <c r="U10">
        <f t="shared" si="6"/>
        <v>12</v>
      </c>
      <c r="V10" t="str">
        <f t="shared" si="7"/>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123557</v>
      </c>
      <c r="Q11">
        <f t="shared" si="2"/>
        <v>14</v>
      </c>
      <c r="R11">
        <f t="shared" si="3"/>
        <v>16</v>
      </c>
      <c r="S11" t="str">
        <f t="shared" si="4"/>
        <v>CA</v>
      </c>
      <c r="T11">
        <f t="shared" si="5"/>
        <v>14</v>
      </c>
      <c r="U11">
        <f t="shared" si="6"/>
        <v>16</v>
      </c>
      <c r="V11" t="str">
        <f t="shared" si="7"/>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123558</v>
      </c>
      <c r="Q12">
        <f t="shared" si="2"/>
        <v>12</v>
      </c>
      <c r="R12">
        <f t="shared" si="3"/>
        <v>14</v>
      </c>
      <c r="S12" t="str">
        <f t="shared" si="4"/>
        <v>CA</v>
      </c>
      <c r="T12">
        <f t="shared" si="5"/>
        <v>12</v>
      </c>
      <c r="U12">
        <f t="shared" si="6"/>
        <v>14</v>
      </c>
      <c r="V12" t="str">
        <f t="shared" si="7"/>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123559</v>
      </c>
      <c r="Q13">
        <f t="shared" si="2"/>
        <v>10</v>
      </c>
      <c r="R13">
        <f t="shared" si="3"/>
        <v>12</v>
      </c>
      <c r="S13" t="str">
        <f t="shared" si="4"/>
        <v>IL</v>
      </c>
      <c r="T13">
        <f t="shared" si="5"/>
        <v>10</v>
      </c>
      <c r="U13">
        <f t="shared" si="6"/>
        <v>12</v>
      </c>
      <c r="V13" t="str">
        <f t="shared" si="7"/>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123560</v>
      </c>
      <c r="Q14">
        <f t="shared" si="2"/>
        <v>15</v>
      </c>
      <c r="R14">
        <f t="shared" si="3"/>
        <v>17</v>
      </c>
      <c r="S14" t="str">
        <f t="shared" si="4"/>
        <v>PA</v>
      </c>
      <c r="T14">
        <f t="shared" si="5"/>
        <v>15</v>
      </c>
      <c r="U14">
        <f t="shared" si="6"/>
        <v>17</v>
      </c>
      <c r="V14" t="str">
        <f t="shared" si="7"/>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123561</v>
      </c>
      <c r="Q15">
        <f t="shared" si="2"/>
        <v>10</v>
      </c>
      <c r="R15">
        <f t="shared" si="3"/>
        <v>12</v>
      </c>
      <c r="S15" t="str">
        <f t="shared" si="4"/>
        <v>IL</v>
      </c>
      <c r="T15">
        <f t="shared" si="5"/>
        <v>10</v>
      </c>
      <c r="U15">
        <f t="shared" si="6"/>
        <v>12</v>
      </c>
      <c r="V15" t="str">
        <f t="shared" si="7"/>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123562</v>
      </c>
      <c r="Q16">
        <f t="shared" si="2"/>
        <v>10</v>
      </c>
      <c r="R16">
        <f t="shared" si="3"/>
        <v>12</v>
      </c>
      <c r="S16" t="str">
        <f t="shared" si="4"/>
        <v>IL</v>
      </c>
      <c r="T16">
        <f t="shared" si="5"/>
        <v>10</v>
      </c>
      <c r="U16">
        <f t="shared" si="6"/>
        <v>12</v>
      </c>
      <c r="V16" t="str">
        <f t="shared" si="7"/>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123563</v>
      </c>
      <c r="Q17">
        <f t="shared" si="2"/>
        <v>10</v>
      </c>
      <c r="R17">
        <f t="shared" si="3"/>
        <v>12</v>
      </c>
      <c r="S17" t="str">
        <f t="shared" si="4"/>
        <v>IL</v>
      </c>
      <c r="T17">
        <f t="shared" si="5"/>
        <v>10</v>
      </c>
      <c r="U17">
        <f t="shared" si="6"/>
        <v>12</v>
      </c>
      <c r="V17" t="str">
        <f t="shared" si="7"/>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123564</v>
      </c>
      <c r="Q18">
        <f t="shared" si="2"/>
        <v>15</v>
      </c>
      <c r="R18">
        <f t="shared" si="3"/>
        <v>17</v>
      </c>
      <c r="S18" t="str">
        <f t="shared" si="4"/>
        <v>PA</v>
      </c>
      <c r="T18">
        <f t="shared" si="5"/>
        <v>15</v>
      </c>
      <c r="U18">
        <f t="shared" si="6"/>
        <v>17</v>
      </c>
      <c r="V18" t="str">
        <f t="shared" si="7"/>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123565</v>
      </c>
      <c r="Q19">
        <f t="shared" si="2"/>
        <v>11</v>
      </c>
      <c r="R19">
        <f t="shared" si="3"/>
        <v>13</v>
      </c>
      <c r="S19" t="str">
        <f t="shared" si="4"/>
        <v>NY</v>
      </c>
      <c r="T19">
        <f t="shared" si="5"/>
        <v>11</v>
      </c>
      <c r="U19">
        <f t="shared" si="6"/>
        <v>13</v>
      </c>
      <c r="V19" t="str">
        <f t="shared" si="7"/>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123566</v>
      </c>
      <c r="Q20">
        <f t="shared" si="2"/>
        <v>15</v>
      </c>
      <c r="R20">
        <f t="shared" si="3"/>
        <v>17</v>
      </c>
      <c r="S20" t="str">
        <f t="shared" si="4"/>
        <v>PA</v>
      </c>
      <c r="T20">
        <f t="shared" si="5"/>
        <v>15</v>
      </c>
      <c r="U20">
        <f t="shared" si="6"/>
        <v>17</v>
      </c>
      <c r="V20" t="str">
        <f t="shared" si="7"/>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123567</v>
      </c>
      <c r="Q21">
        <f t="shared" si="2"/>
        <v>11</v>
      </c>
      <c r="R21">
        <f t="shared" si="3"/>
        <v>13</v>
      </c>
      <c r="S21" t="str">
        <f t="shared" si="4"/>
        <v>NY</v>
      </c>
      <c r="T21">
        <f t="shared" si="5"/>
        <v>11</v>
      </c>
      <c r="U21">
        <f t="shared" si="6"/>
        <v>13</v>
      </c>
      <c r="V21" t="str">
        <f t="shared" si="7"/>
        <v>NY</v>
      </c>
    </row>
    <row r="22" spans="1:22" x14ac:dyDescent="0.35">
      <c r="O22" t="str">
        <f t="shared" si="1"/>
        <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D1"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abSelected="1" topLeftCell="H1" workbookViewId="0">
      <selection activeCell="M2" sqref="M2"/>
    </sheetView>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topLeftCell="B1"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31"/>
  <sheetViews>
    <sheetView topLeftCell="A5" zoomScale="120" zoomScaleNormal="120" workbookViewId="0">
      <selection activeCell="K12" sqref="K12"/>
    </sheetView>
  </sheetViews>
  <sheetFormatPr defaultRowHeight="14.5" x14ac:dyDescent="0.35"/>
  <cols>
    <col min="1" max="1" width="24.36328125" customWidth="1"/>
  </cols>
  <sheetData>
    <row r="2" spans="1:75" x14ac:dyDescent="0.35">
      <c r="A2" s="15" t="s">
        <v>94</v>
      </c>
      <c r="B2" s="16"/>
    </row>
    <row r="3" spans="1:75" x14ac:dyDescent="0.35">
      <c r="A3" t="str">
        <f>_xlfn.TEXTJOIN(",",TRUE,Data!H2:H21)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row>
    <row r="5" spans="1:75" x14ac:dyDescent="0.35">
      <c r="A5" s="15" t="s">
        <v>67</v>
      </c>
      <c r="B5" s="16"/>
    </row>
    <row r="6" spans="1:75" x14ac:dyDescent="0.35">
      <c r="A6" s="15" t="str" cm="1">
        <f t="array" ref="A6:BW6">_xlfn.TEXTSPLIT($A$3,",")</f>
        <v>Kafka</v>
      </c>
      <c r="B6" t="str">
        <v xml:space="preserve"> DataBricks</v>
      </c>
      <c r="C6" t="str">
        <v xml:space="preserve"> Spark</v>
      </c>
      <c r="D6" t="str">
        <v xml:space="preserve"> Python</v>
      </c>
      <c r="E6" t="str">
        <v xml:space="preserve"> GCP</v>
      </c>
      <c r="F6" t="str">
        <v>Power BI</v>
      </c>
      <c r="G6" t="str">
        <v xml:space="preserve"> GCP</v>
      </c>
      <c r="H6" t="str">
        <v xml:space="preserve"> Airflow</v>
      </c>
      <c r="I6" t="str">
        <v xml:space="preserve"> Hadoop</v>
      </c>
      <c r="J6" t="str">
        <v xml:space="preserve"> R</v>
      </c>
      <c r="K6" t="str">
        <v>Azure</v>
      </c>
      <c r="L6" t="str">
        <v xml:space="preserve"> Java</v>
      </c>
      <c r="M6" t="str">
        <v xml:space="preserve"> SQL</v>
      </c>
      <c r="N6" t="str">
        <v xml:space="preserve"> DataBricks</v>
      </c>
      <c r="O6" t="str">
        <v>Kafka</v>
      </c>
      <c r="P6" t="str">
        <v xml:space="preserve"> DataBricks</v>
      </c>
      <c r="Q6" t="str">
        <v xml:space="preserve"> Spark</v>
      </c>
      <c r="R6" t="str">
        <v xml:space="preserve"> Python</v>
      </c>
      <c r="S6" t="str">
        <v xml:space="preserve"> GCP</v>
      </c>
      <c r="T6" t="str">
        <v>DataBricks</v>
      </c>
      <c r="U6" t="str">
        <v xml:space="preserve"> Hadoop</v>
      </c>
      <c r="V6" t="str">
        <v xml:space="preserve"> Java</v>
      </c>
      <c r="W6" t="str">
        <v>Snowflake</v>
      </c>
      <c r="X6" t="str">
        <v xml:space="preserve"> Airflow</v>
      </c>
      <c r="Y6" t="str">
        <v xml:space="preserve"> DataBricks</v>
      </c>
      <c r="Z6" t="str">
        <v>Azure</v>
      </c>
      <c r="AA6" t="str">
        <v xml:space="preserve"> Java</v>
      </c>
      <c r="AB6" t="str">
        <v xml:space="preserve"> SQL</v>
      </c>
      <c r="AC6" t="str">
        <v xml:space="preserve"> DataBricks</v>
      </c>
      <c r="AD6" t="str">
        <v>Snowflake</v>
      </c>
      <c r="AE6" t="str">
        <v xml:space="preserve"> Airflow</v>
      </c>
      <c r="AF6" t="str">
        <v xml:space="preserve"> DataBricks</v>
      </c>
      <c r="AG6" t="str">
        <v>Scala</v>
      </c>
      <c r="AH6" t="str">
        <v xml:space="preserve"> Azure</v>
      </c>
      <c r="AI6" t="str">
        <v xml:space="preserve"> R</v>
      </c>
      <c r="AJ6" t="str">
        <v xml:space="preserve"> Kafka</v>
      </c>
      <c r="AK6" t="str">
        <v>Snowflake</v>
      </c>
      <c r="AL6" t="str">
        <v xml:space="preserve"> Excel</v>
      </c>
      <c r="AM6" t="str">
        <v xml:space="preserve"> Scala</v>
      </c>
      <c r="AN6" t="str">
        <v>Excel</v>
      </c>
      <c r="AO6" t="str">
        <v xml:space="preserve"> Power BI</v>
      </c>
      <c r="AP6" t="str">
        <v xml:space="preserve"> R</v>
      </c>
      <c r="AQ6" t="str">
        <v>Scala</v>
      </c>
      <c r="AR6" t="str">
        <v xml:space="preserve"> R</v>
      </c>
      <c r="AS6" t="str">
        <v xml:space="preserve"> Hadoop</v>
      </c>
      <c r="AT6" t="str">
        <v xml:space="preserve"> Power BI</v>
      </c>
      <c r="AU6" t="str">
        <v xml:space="preserve"> SQL</v>
      </c>
      <c r="AV6" t="str">
        <v>Snowflake</v>
      </c>
      <c r="AW6" t="str">
        <v xml:space="preserve"> Airflow</v>
      </c>
      <c r="AX6" t="str">
        <v xml:space="preserve"> DataBricks</v>
      </c>
      <c r="AY6" t="str">
        <v>Java</v>
      </c>
      <c r="AZ6" t="str">
        <v xml:space="preserve"> Scala</v>
      </c>
      <c r="BA6" t="str">
        <v xml:space="preserve"> R</v>
      </c>
      <c r="BB6" t="str">
        <v>DataBricks</v>
      </c>
      <c r="BC6" t="str">
        <v xml:space="preserve"> Azure</v>
      </c>
      <c r="BD6" t="str">
        <v xml:space="preserve"> Scala</v>
      </c>
      <c r="BE6" t="str">
        <v>Power BI</v>
      </c>
      <c r="BF6" t="str">
        <v xml:space="preserve"> GCP</v>
      </c>
      <c r="BG6" t="str">
        <v xml:space="preserve"> Airflow</v>
      </c>
      <c r="BH6" t="str">
        <v xml:space="preserve"> Hadoop</v>
      </c>
      <c r="BI6" t="str">
        <v xml:space="preserve"> R</v>
      </c>
      <c r="BJ6" t="str">
        <v>DataBricks</v>
      </c>
      <c r="BK6" t="str">
        <v xml:space="preserve"> Hadoop</v>
      </c>
      <c r="BL6" t="str">
        <v xml:space="preserve"> Java</v>
      </c>
      <c r="BM6" t="str">
        <v>Snowflake</v>
      </c>
      <c r="BN6" t="str">
        <v xml:space="preserve"> Power BI</v>
      </c>
      <c r="BO6" t="str">
        <v xml:space="preserve"> Tableau</v>
      </c>
      <c r="BP6" t="str">
        <v xml:space="preserve"> Airflow</v>
      </c>
      <c r="BQ6" t="str">
        <v xml:space="preserve"> SQL</v>
      </c>
      <c r="BR6" t="str">
        <v>DataBricks</v>
      </c>
      <c r="BS6" t="str">
        <v xml:space="preserve"> Hadoop</v>
      </c>
      <c r="BT6" t="str">
        <v xml:space="preserve"> Java</v>
      </c>
      <c r="BU6" t="str">
        <v>DataBricks</v>
      </c>
      <c r="BV6" t="str">
        <v xml:space="preserve"> Hadoop</v>
      </c>
      <c r="BW6" t="str">
        <v xml:space="preserve"> Java</v>
      </c>
    </row>
    <row r="7" spans="1:75" x14ac:dyDescent="0.35">
      <c r="A7" t="str" cm="1">
        <f t="array" ref="A7:BW7">TRIM(_xlfn.ANCHORARRAY(A6))</f>
        <v>Kafka</v>
      </c>
      <c r="B7" t="str">
        <v>DataBricks</v>
      </c>
      <c r="C7" t="str">
        <v>Spark</v>
      </c>
      <c r="D7" t="str">
        <v>Python</v>
      </c>
      <c r="E7" t="str">
        <v>GCP</v>
      </c>
      <c r="F7" t="str">
        <v>Power BI</v>
      </c>
      <c r="G7" t="str">
        <v>GCP</v>
      </c>
      <c r="H7" t="str">
        <v>Airflow</v>
      </c>
      <c r="I7" t="str">
        <v>Hadoop</v>
      </c>
      <c r="J7" t="str">
        <v>R</v>
      </c>
      <c r="K7" t="str">
        <v>Azure</v>
      </c>
      <c r="L7" t="str">
        <v>Java</v>
      </c>
      <c r="M7" t="str">
        <v>SQL</v>
      </c>
      <c r="N7" t="str">
        <v>DataBricks</v>
      </c>
      <c r="O7" t="str">
        <v>Kafka</v>
      </c>
      <c r="P7" t="str">
        <v>DataBricks</v>
      </c>
      <c r="Q7" t="str">
        <v>Spark</v>
      </c>
      <c r="R7" t="str">
        <v>Python</v>
      </c>
      <c r="S7" t="str">
        <v>GCP</v>
      </c>
      <c r="T7" t="str">
        <v>DataBricks</v>
      </c>
      <c r="U7" t="str">
        <v>Hadoop</v>
      </c>
      <c r="V7" t="str">
        <v>Java</v>
      </c>
      <c r="W7" t="str">
        <v>Snowflake</v>
      </c>
      <c r="X7" t="str">
        <v>Airflow</v>
      </c>
      <c r="Y7" t="str">
        <v>DataBricks</v>
      </c>
      <c r="Z7" t="str">
        <v>Azure</v>
      </c>
      <c r="AA7" t="str">
        <v>Java</v>
      </c>
      <c r="AB7" t="str">
        <v>SQL</v>
      </c>
      <c r="AC7" t="str">
        <v>DataBricks</v>
      </c>
      <c r="AD7" t="str">
        <v>Snowflake</v>
      </c>
      <c r="AE7" t="str">
        <v>Airflow</v>
      </c>
      <c r="AF7" t="str">
        <v>DataBricks</v>
      </c>
      <c r="AG7" t="str">
        <v>Scala</v>
      </c>
      <c r="AH7" t="str">
        <v>Azure</v>
      </c>
      <c r="AI7" t="str">
        <v>R</v>
      </c>
      <c r="AJ7" t="str">
        <v>Kafka</v>
      </c>
      <c r="AK7" t="str">
        <v>Snowflake</v>
      </c>
      <c r="AL7" t="str">
        <v>Excel</v>
      </c>
      <c r="AM7" t="str">
        <v>Scala</v>
      </c>
      <c r="AN7" t="str">
        <v>Excel</v>
      </c>
      <c r="AO7" t="str">
        <v>Power BI</v>
      </c>
      <c r="AP7" t="str">
        <v>R</v>
      </c>
      <c r="AQ7" t="str">
        <v>Scala</v>
      </c>
      <c r="AR7" t="str">
        <v>R</v>
      </c>
      <c r="AS7" t="str">
        <v>Hadoop</v>
      </c>
      <c r="AT7" t="str">
        <v>Power BI</v>
      </c>
      <c r="AU7" t="str">
        <v>SQL</v>
      </c>
      <c r="AV7" t="str">
        <v>Snowflake</v>
      </c>
      <c r="AW7" t="str">
        <v>Airflow</v>
      </c>
      <c r="AX7" t="str">
        <v>DataBricks</v>
      </c>
      <c r="AY7" t="str">
        <v>Java</v>
      </c>
      <c r="AZ7" t="str">
        <v>Scala</v>
      </c>
      <c r="BA7" t="str">
        <v>R</v>
      </c>
      <c r="BB7" t="str">
        <v>DataBricks</v>
      </c>
      <c r="BC7" t="str">
        <v>Azure</v>
      </c>
      <c r="BD7" t="str">
        <v>Scala</v>
      </c>
      <c r="BE7" t="str">
        <v>Power BI</v>
      </c>
      <c r="BF7" t="str">
        <v>GCP</v>
      </c>
      <c r="BG7" t="str">
        <v>Airflow</v>
      </c>
      <c r="BH7" t="str">
        <v>Hadoop</v>
      </c>
      <c r="BI7" t="str">
        <v>R</v>
      </c>
      <c r="BJ7" t="str">
        <v>DataBricks</v>
      </c>
      <c r="BK7" t="str">
        <v>Hadoop</v>
      </c>
      <c r="BL7" t="str">
        <v>Java</v>
      </c>
      <c r="BM7" t="str">
        <v>Snowflake</v>
      </c>
      <c r="BN7" t="str">
        <v>Power BI</v>
      </c>
      <c r="BO7" t="str">
        <v>Tableau</v>
      </c>
      <c r="BP7" t="str">
        <v>Airflow</v>
      </c>
      <c r="BQ7" t="str">
        <v>SQL</v>
      </c>
      <c r="BR7" t="str">
        <v>DataBricks</v>
      </c>
      <c r="BS7" t="str">
        <v>Hadoop</v>
      </c>
      <c r="BT7" t="str">
        <v>Java</v>
      </c>
      <c r="BU7" t="str">
        <v>DataBricks</v>
      </c>
      <c r="BV7" t="str">
        <v>Hadoop</v>
      </c>
      <c r="BW7" t="str">
        <v>Java</v>
      </c>
    </row>
    <row r="8" spans="1:75" x14ac:dyDescent="0.35">
      <c r="A8" s="15" t="s">
        <v>68</v>
      </c>
      <c r="B8" s="15" t="s">
        <v>93</v>
      </c>
      <c r="C8" s="16"/>
      <c r="D8" s="16"/>
      <c r="E8" s="16"/>
      <c r="F8" s="16"/>
    </row>
    <row r="9" spans="1:75" x14ac:dyDescent="0.35">
      <c r="A9" s="1" t="str" cm="1">
        <f t="array" ref="A9:A24">_xlfn.UNIQUE(TRANSPOSE(_xlfn.ANCHORARRAY(A7)))</f>
        <v>Kafka</v>
      </c>
      <c r="B9" s="1"/>
      <c r="C9">
        <f>COUNTIF($7:$7,A9)</f>
        <v>3</v>
      </c>
    </row>
    <row r="10" spans="1:75" x14ac:dyDescent="0.35">
      <c r="A10" s="1" t="str">
        <v>DataBricks</v>
      </c>
      <c r="B10" s="1"/>
      <c r="C10">
        <f t="shared" ref="C10:C31" si="0">COUNTIF($7:$7,A10)</f>
        <v>12</v>
      </c>
    </row>
    <row r="11" spans="1:75" x14ac:dyDescent="0.35">
      <c r="A11" s="1" t="str">
        <v>Spark</v>
      </c>
      <c r="B11" s="1"/>
      <c r="C11">
        <f t="shared" si="0"/>
        <v>2</v>
      </c>
    </row>
    <row r="12" spans="1:75" x14ac:dyDescent="0.35">
      <c r="A12" s="1" t="str">
        <v>Python</v>
      </c>
      <c r="B12" s="1"/>
      <c r="C12">
        <f t="shared" si="0"/>
        <v>2</v>
      </c>
    </row>
    <row r="13" spans="1:75" x14ac:dyDescent="0.35">
      <c r="A13" s="1" t="str">
        <v>GCP</v>
      </c>
      <c r="B13" s="1"/>
      <c r="C13">
        <f t="shared" si="0"/>
        <v>4</v>
      </c>
    </row>
    <row r="14" spans="1:75" x14ac:dyDescent="0.35">
      <c r="A14" s="1" t="str">
        <v>Power BI</v>
      </c>
      <c r="B14" s="1"/>
      <c r="C14">
        <f t="shared" si="0"/>
        <v>5</v>
      </c>
    </row>
    <row r="15" spans="1:75" x14ac:dyDescent="0.35">
      <c r="A15" s="1" t="str">
        <v>Airflow</v>
      </c>
      <c r="B15" s="1"/>
      <c r="C15">
        <f t="shared" si="0"/>
        <v>6</v>
      </c>
    </row>
    <row r="16" spans="1:75" x14ac:dyDescent="0.35">
      <c r="A16" s="1" t="str">
        <v>Hadoop</v>
      </c>
      <c r="B16" s="1"/>
      <c r="C16">
        <f t="shared" si="0"/>
        <v>7</v>
      </c>
    </row>
    <row r="17" spans="1:3" x14ac:dyDescent="0.35">
      <c r="A17" s="1" t="str">
        <v>R</v>
      </c>
      <c r="B17" s="1"/>
      <c r="C17">
        <f t="shared" si="0"/>
        <v>6</v>
      </c>
    </row>
    <row r="18" spans="1:3" x14ac:dyDescent="0.35">
      <c r="A18" s="1" t="str">
        <v>Azure</v>
      </c>
      <c r="B18" s="1"/>
      <c r="C18">
        <f t="shared" si="0"/>
        <v>4</v>
      </c>
    </row>
    <row r="19" spans="1:3" x14ac:dyDescent="0.35">
      <c r="A19" s="1" t="str">
        <v>Java</v>
      </c>
      <c r="B19" s="1"/>
      <c r="C19">
        <f t="shared" si="0"/>
        <v>7</v>
      </c>
    </row>
    <row r="20" spans="1:3" x14ac:dyDescent="0.35">
      <c r="A20" s="1" t="str">
        <v>SQL</v>
      </c>
      <c r="B20" s="1"/>
      <c r="C20">
        <f t="shared" si="0"/>
        <v>4</v>
      </c>
    </row>
    <row r="21" spans="1:3" x14ac:dyDescent="0.35">
      <c r="A21" s="1" t="str">
        <v>Snowflake</v>
      </c>
      <c r="B21" s="1"/>
      <c r="C21">
        <f t="shared" si="0"/>
        <v>5</v>
      </c>
    </row>
    <row r="22" spans="1:3" x14ac:dyDescent="0.35">
      <c r="A22" s="1" t="str">
        <v>Scala</v>
      </c>
      <c r="B22" s="1"/>
      <c r="C22">
        <f t="shared" si="0"/>
        <v>5</v>
      </c>
    </row>
    <row r="23" spans="1:3" x14ac:dyDescent="0.35">
      <c r="A23" s="1" t="str">
        <v>Excel</v>
      </c>
      <c r="B23" s="1"/>
      <c r="C23">
        <f t="shared" si="0"/>
        <v>2</v>
      </c>
    </row>
    <row r="24" spans="1:3" x14ac:dyDescent="0.35">
      <c r="A24" s="1" t="str">
        <v>Tableau</v>
      </c>
      <c r="B24" s="1"/>
      <c r="C24">
        <f t="shared" si="0"/>
        <v>1</v>
      </c>
    </row>
    <row r="25" spans="1:3" x14ac:dyDescent="0.35">
      <c r="A25" s="1"/>
      <c r="B25" s="1"/>
      <c r="C25">
        <f t="shared" si="0"/>
        <v>0</v>
      </c>
    </row>
    <row r="26" spans="1:3" x14ac:dyDescent="0.35">
      <c r="C26">
        <f t="shared" si="0"/>
        <v>0</v>
      </c>
    </row>
    <row r="27" spans="1:3" x14ac:dyDescent="0.35">
      <c r="C27">
        <f t="shared" si="0"/>
        <v>0</v>
      </c>
    </row>
    <row r="28" spans="1:3" x14ac:dyDescent="0.35">
      <c r="C28">
        <f t="shared" si="0"/>
        <v>0</v>
      </c>
    </row>
    <row r="29" spans="1:3" x14ac:dyDescent="0.35">
      <c r="C29">
        <f t="shared" si="0"/>
        <v>0</v>
      </c>
    </row>
    <row r="30" spans="1:3" x14ac:dyDescent="0.35">
      <c r="C30">
        <f t="shared" si="0"/>
        <v>0</v>
      </c>
    </row>
    <row r="31" spans="1:3" x14ac:dyDescent="0.35">
      <c r="C3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Delphine Huriro</cp:lastModifiedBy>
  <dcterms:created xsi:type="dcterms:W3CDTF">2015-06-05T18:17:20Z</dcterms:created>
  <dcterms:modified xsi:type="dcterms:W3CDTF">2025-10-23T15:22:30Z</dcterms:modified>
</cp:coreProperties>
</file>